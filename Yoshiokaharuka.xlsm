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-yosiok\Lab\aggregateSpecSusp\"/>
    </mc:Choice>
  </mc:AlternateContent>
  <xr:revisionPtr revIDLastSave="0" documentId="13_ncr:40009_{B2C83F99-CF1C-4AE5-B710-3EA5778B6615}" xr6:coauthVersionLast="47" xr6:coauthVersionMax="47" xr10:uidLastSave="{00000000-0000-0000-0000-000000000000}"/>
  <bookViews>
    <workbookView xWindow="-120" yWindow="-120" windowWidth="38640" windowHeight="21240"/>
  </bookViews>
  <sheets>
    <sheet name="Yoshiokaharuka" sheetId="1" r:id="rId1"/>
  </sheets>
  <definedNames>
    <definedName name="_xlchart.v1.0" hidden="1">Yoshiokaharuka!$B$1:$B$44</definedName>
    <definedName name="_xlchart.v1.1" hidden="1">Yoshiokaharuka!$C$1:$C$44</definedName>
    <definedName name="_xlchart.v1.2" hidden="1">Yoshiokaharuka!$D$1:$D$44</definedName>
    <definedName name="_xlchart.v1.3" hidden="1">Yoshiokaharuka!$B$1:$B$44</definedName>
    <definedName name="_xlchart.v1.4" hidden="1">Yoshiokaharuka!$C$1:$C$44</definedName>
    <definedName name="_xlchart.v1.5" hidden="1">Yoshiokaharuka!$D$1:$D$44</definedName>
  </definedNames>
  <calcPr calcId="0"/>
</workbook>
</file>

<file path=xl/calcChain.xml><?xml version="1.0" encoding="utf-8"?>
<calcChain xmlns="http://schemas.openxmlformats.org/spreadsheetml/2006/main">
  <c r="K12" i="1" l="1"/>
  <c r="J12" i="1"/>
  <c r="I12" i="1"/>
  <c r="K13" i="1"/>
  <c r="J13" i="1"/>
  <c r="I13" i="1"/>
  <c r="K11" i="1"/>
  <c r="J11" i="1"/>
  <c r="K10" i="1"/>
  <c r="J10" i="1"/>
  <c r="I11" i="1"/>
  <c r="I10" i="1"/>
  <c r="K9" i="1"/>
  <c r="J9" i="1"/>
  <c r="I9" i="1"/>
  <c r="J6" i="1"/>
  <c r="J5" i="1"/>
  <c r="J4" i="1"/>
  <c r="J3" i="1"/>
  <c r="J2" i="1"/>
  <c r="K6" i="1"/>
  <c r="K5" i="1"/>
  <c r="K4" i="1"/>
  <c r="K3" i="1"/>
  <c r="K2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<sst xmlns="http://schemas.openxmlformats.org/spreadsheetml/2006/main" count="100" uniqueCount="34">
  <si>
    <t>SimplexOptimizer</t>
  </si>
  <si>
    <t>math006</t>
  </si>
  <si>
    <t>CMAESOptimizer</t>
  </si>
  <si>
    <t>math018</t>
  </si>
  <si>
    <t>OpenMapRealVector</t>
  </si>
  <si>
    <t>math029</t>
  </si>
  <si>
    <t>SimplexTableau</t>
  </si>
  <si>
    <t>math033</t>
  </si>
  <si>
    <t>Complex</t>
  </si>
  <si>
    <t>math037</t>
  </si>
  <si>
    <t>BOBYQAOptimizer</t>
  </si>
  <si>
    <t>math038</t>
  </si>
  <si>
    <t>EmbeddedRungeKuttaIntegrator</t>
  </si>
  <si>
    <t>math039</t>
  </si>
  <si>
    <t>math042</t>
  </si>
  <si>
    <t>math053</t>
  </si>
  <si>
    <t>BrentOptimizer</t>
  </si>
  <si>
    <t>math066</t>
  </si>
  <si>
    <t>math071</t>
  </si>
  <si>
    <t>RungeKuttaIntegrator</t>
  </si>
  <si>
    <t>math083</t>
  </si>
  <si>
    <t>math088</t>
  </si>
  <si>
    <t>309 145 265</t>
  </si>
  <si>
    <t>最大値</t>
    <rPh sb="0" eb="3">
      <t>サイダイチ</t>
    </rPh>
    <phoneticPr fontId="18"/>
  </si>
  <si>
    <t>中央値</t>
    <rPh sb="0" eb="3">
      <t>チュウオウチ</t>
    </rPh>
    <phoneticPr fontId="18"/>
  </si>
  <si>
    <t>最小値</t>
    <rPh sb="0" eb="3">
      <t>サイショウチ</t>
    </rPh>
    <phoneticPr fontId="18"/>
  </si>
  <si>
    <t>グラフ用データ</t>
    <rPh sb="3" eb="4">
      <t>ヨウ</t>
    </rPh>
    <phoneticPr fontId="18"/>
  </si>
  <si>
    <t>75%-中央値</t>
    <rPh sb="4" eb="7">
      <t>チュウオウチ</t>
    </rPh>
    <phoneticPr fontId="18"/>
  </si>
  <si>
    <t>中央値-25%</t>
    <rPh sb="0" eb="3">
      <t>チュウオウチ</t>
    </rPh>
    <phoneticPr fontId="18"/>
  </si>
  <si>
    <t>25%-最小値</t>
    <rPh sb="4" eb="7">
      <t>サイショウチ</t>
    </rPh>
    <phoneticPr fontId="18"/>
  </si>
  <si>
    <t>最大値-75%</t>
    <rPh sb="0" eb="3">
      <t>サイダイチ</t>
    </rPh>
    <phoneticPr fontId="18"/>
  </si>
  <si>
    <t>SBFL</t>
    <phoneticPr fontId="18"/>
  </si>
  <si>
    <t>SBFL'</t>
    <phoneticPr fontId="18"/>
  </si>
  <si>
    <t>提案手法</t>
    <rPh sb="0" eb="4">
      <t>テイアンシュホウ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</si>
</sst>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9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Yoshiokaharuka!$A$1:$A$44</c:f>
              <c:strCache>
                <c:ptCount val="44"/>
                <c:pt idx="0">
                  <c:v>BOBYQAOptimizer</c:v>
                </c:pt>
                <c:pt idx="1">
                  <c:v>BOBYQAOptimizer</c:v>
                </c:pt>
                <c:pt idx="2">
                  <c:v>BOBYQAOptimizer</c:v>
                </c:pt>
                <c:pt idx="3">
                  <c:v>BOBYQAOptimizer</c:v>
                </c:pt>
                <c:pt idx="4">
                  <c:v>EmbeddedRungeKuttaIntegrator</c:v>
                </c:pt>
                <c:pt idx="5">
                  <c:v>SimplexOptimizer</c:v>
                </c:pt>
                <c:pt idx="6">
                  <c:v>SimplexOptimizer</c:v>
                </c:pt>
                <c:pt idx="7">
                  <c:v>RungeKuttaIntegrator</c:v>
                </c:pt>
                <c:pt idx="8">
                  <c:v>BrentOptimizer</c:v>
                </c:pt>
                <c:pt idx="9">
                  <c:v>CMAESOptimizer</c:v>
                </c:pt>
                <c:pt idx="10">
                  <c:v>CMAESOptimizer</c:v>
                </c:pt>
                <c:pt idx="11">
                  <c:v>BrentOptimizer</c:v>
                </c:pt>
                <c:pt idx="12">
                  <c:v>BrentOptimizer</c:v>
                </c:pt>
                <c:pt idx="13">
                  <c:v>BrentOptimizer</c:v>
                </c:pt>
                <c:pt idx="14">
                  <c:v>BrentOptimizer</c:v>
                </c:pt>
                <c:pt idx="15">
                  <c:v>EmbeddedRungeKuttaIntegrator</c:v>
                </c:pt>
                <c:pt idx="16">
                  <c:v>OpenMapRealVector</c:v>
                </c:pt>
                <c:pt idx="17">
                  <c:v>SimplexTableau</c:v>
                </c:pt>
                <c:pt idx="18">
                  <c:v>OpenMapRealVector</c:v>
                </c:pt>
                <c:pt idx="19">
                  <c:v>OpenMapRealVector</c:v>
                </c:pt>
                <c:pt idx="20">
                  <c:v>OpenMapRealVector</c:v>
                </c:pt>
                <c:pt idx="21">
                  <c:v>SimplexTableau</c:v>
                </c:pt>
                <c:pt idx="22">
                  <c:v>SimplexTableau</c:v>
                </c:pt>
                <c:pt idx="23">
                  <c:v>SimplexTableau</c:v>
                </c:pt>
                <c:pt idx="24">
                  <c:v>SimplexTableau</c:v>
                </c:pt>
                <c:pt idx="25">
                  <c:v>SimplexTableau</c:v>
                </c:pt>
                <c:pt idx="26">
                  <c:v>SimplexTableau</c:v>
                </c:pt>
                <c:pt idx="27">
                  <c:v>SimplexTableau</c:v>
                </c:pt>
                <c:pt idx="28">
                  <c:v>SimplexTableau</c:v>
                </c:pt>
                <c:pt idx="29">
                  <c:v>BrentOptimizer</c:v>
                </c:pt>
                <c:pt idx="30">
                  <c:v>BrentOptimizer</c:v>
                </c:pt>
                <c:pt idx="31">
                  <c:v>SimplexTableau</c:v>
                </c:pt>
                <c:pt idx="32">
                  <c:v>BrentOptimizer</c:v>
                </c:pt>
                <c:pt idx="33">
                  <c:v>BrentOptimizer</c:v>
                </c:pt>
                <c:pt idx="34">
                  <c:v>Complex</c:v>
                </c:pt>
                <c:pt idx="35">
                  <c:v>Complex</c:v>
                </c:pt>
                <c:pt idx="36">
                  <c:v>Complex</c:v>
                </c:pt>
                <c:pt idx="37">
                  <c:v>BrentOptimizer</c:v>
                </c:pt>
                <c:pt idx="38">
                  <c:v>BrentOptimizer</c:v>
                </c:pt>
                <c:pt idx="39">
                  <c:v>BrentOptimizer</c:v>
                </c:pt>
                <c:pt idx="40">
                  <c:v>Complex</c:v>
                </c:pt>
                <c:pt idx="41">
                  <c:v>BrentOptimizer</c:v>
                </c:pt>
                <c:pt idx="42">
                  <c:v>Complex</c:v>
                </c:pt>
                <c:pt idx="43">
                  <c:v>BrentOptimizer</c:v>
                </c:pt>
              </c:strCache>
            </c:strRef>
          </c:cat>
          <c:val>
            <c:numRef>
              <c:f>Yoshiokaharuka!$B$1:$B$44</c:f>
              <c:numCache>
                <c:formatCode>General</c:formatCode>
                <c:ptCount val="44"/>
                <c:pt idx="0">
                  <c:v>1870</c:v>
                </c:pt>
                <c:pt idx="1">
                  <c:v>1860</c:v>
                </c:pt>
                <c:pt idx="2">
                  <c:v>1859</c:v>
                </c:pt>
                <c:pt idx="3">
                  <c:v>1857</c:v>
                </c:pt>
                <c:pt idx="4">
                  <c:v>531</c:v>
                </c:pt>
                <c:pt idx="5">
                  <c:v>506</c:v>
                </c:pt>
                <c:pt idx="6">
                  <c:v>492</c:v>
                </c:pt>
                <c:pt idx="7">
                  <c:v>331</c:v>
                </c:pt>
                <c:pt idx="8">
                  <c:v>241</c:v>
                </c:pt>
                <c:pt idx="9">
                  <c:v>180</c:v>
                </c:pt>
                <c:pt idx="10">
                  <c:v>174</c:v>
                </c:pt>
                <c:pt idx="11">
                  <c:v>139</c:v>
                </c:pt>
                <c:pt idx="12">
                  <c:v>136</c:v>
                </c:pt>
                <c:pt idx="13">
                  <c:v>119</c:v>
                </c:pt>
                <c:pt idx="14">
                  <c:v>118</c:v>
                </c:pt>
                <c:pt idx="15">
                  <c:v>90</c:v>
                </c:pt>
                <c:pt idx="16">
                  <c:v>76</c:v>
                </c:pt>
                <c:pt idx="17">
                  <c:v>76</c:v>
                </c:pt>
                <c:pt idx="18">
                  <c:v>75</c:v>
                </c:pt>
                <c:pt idx="19">
                  <c:v>74</c:v>
                </c:pt>
                <c:pt idx="20">
                  <c:v>73</c:v>
                </c:pt>
                <c:pt idx="21">
                  <c:v>42</c:v>
                </c:pt>
                <c:pt idx="22">
                  <c:v>41</c:v>
                </c:pt>
                <c:pt idx="23">
                  <c:v>40</c:v>
                </c:pt>
                <c:pt idx="24">
                  <c:v>39</c:v>
                </c:pt>
                <c:pt idx="25">
                  <c:v>38</c:v>
                </c:pt>
                <c:pt idx="26">
                  <c:v>37</c:v>
                </c:pt>
                <c:pt idx="27">
                  <c:v>30</c:v>
                </c:pt>
                <c:pt idx="28">
                  <c:v>27</c:v>
                </c:pt>
                <c:pt idx="29">
                  <c:v>25</c:v>
                </c:pt>
                <c:pt idx="30">
                  <c:v>24</c:v>
                </c:pt>
                <c:pt idx="31">
                  <c:v>23</c:v>
                </c:pt>
                <c:pt idx="32">
                  <c:v>21</c:v>
                </c:pt>
                <c:pt idx="33">
                  <c:v>20</c:v>
                </c:pt>
                <c:pt idx="34">
                  <c:v>15</c:v>
                </c:pt>
                <c:pt idx="35">
                  <c:v>14</c:v>
                </c:pt>
                <c:pt idx="36">
                  <c:v>9</c:v>
                </c:pt>
                <c:pt idx="37">
                  <c:v>8</c:v>
                </c:pt>
                <c:pt idx="38">
                  <c:v>6</c:v>
                </c:pt>
                <c:pt idx="39">
                  <c:v>5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5-49C4-AF36-03387D91B09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Yoshiokaharuka!$A$1:$A$44</c:f>
              <c:strCache>
                <c:ptCount val="44"/>
                <c:pt idx="0">
                  <c:v>BOBYQAOptimizer</c:v>
                </c:pt>
                <c:pt idx="1">
                  <c:v>BOBYQAOptimizer</c:v>
                </c:pt>
                <c:pt idx="2">
                  <c:v>BOBYQAOptimizer</c:v>
                </c:pt>
                <c:pt idx="3">
                  <c:v>BOBYQAOptimizer</c:v>
                </c:pt>
                <c:pt idx="4">
                  <c:v>EmbeddedRungeKuttaIntegrator</c:v>
                </c:pt>
                <c:pt idx="5">
                  <c:v>SimplexOptimizer</c:v>
                </c:pt>
                <c:pt idx="6">
                  <c:v>SimplexOptimizer</c:v>
                </c:pt>
                <c:pt idx="7">
                  <c:v>RungeKuttaIntegrator</c:v>
                </c:pt>
                <c:pt idx="8">
                  <c:v>BrentOptimizer</c:v>
                </c:pt>
                <c:pt idx="9">
                  <c:v>CMAESOptimizer</c:v>
                </c:pt>
                <c:pt idx="10">
                  <c:v>CMAESOptimizer</c:v>
                </c:pt>
                <c:pt idx="11">
                  <c:v>BrentOptimizer</c:v>
                </c:pt>
                <c:pt idx="12">
                  <c:v>BrentOptimizer</c:v>
                </c:pt>
                <c:pt idx="13">
                  <c:v>BrentOptimizer</c:v>
                </c:pt>
                <c:pt idx="14">
                  <c:v>BrentOptimizer</c:v>
                </c:pt>
                <c:pt idx="15">
                  <c:v>EmbeddedRungeKuttaIntegrator</c:v>
                </c:pt>
                <c:pt idx="16">
                  <c:v>OpenMapRealVector</c:v>
                </c:pt>
                <c:pt idx="17">
                  <c:v>SimplexTableau</c:v>
                </c:pt>
                <c:pt idx="18">
                  <c:v>OpenMapRealVector</c:v>
                </c:pt>
                <c:pt idx="19">
                  <c:v>OpenMapRealVector</c:v>
                </c:pt>
                <c:pt idx="20">
                  <c:v>OpenMapRealVector</c:v>
                </c:pt>
                <c:pt idx="21">
                  <c:v>SimplexTableau</c:v>
                </c:pt>
                <c:pt idx="22">
                  <c:v>SimplexTableau</c:v>
                </c:pt>
                <c:pt idx="23">
                  <c:v>SimplexTableau</c:v>
                </c:pt>
                <c:pt idx="24">
                  <c:v>SimplexTableau</c:v>
                </c:pt>
                <c:pt idx="25">
                  <c:v>SimplexTableau</c:v>
                </c:pt>
                <c:pt idx="26">
                  <c:v>SimplexTableau</c:v>
                </c:pt>
                <c:pt idx="27">
                  <c:v>SimplexTableau</c:v>
                </c:pt>
                <c:pt idx="28">
                  <c:v>SimplexTableau</c:v>
                </c:pt>
                <c:pt idx="29">
                  <c:v>BrentOptimizer</c:v>
                </c:pt>
                <c:pt idx="30">
                  <c:v>BrentOptimizer</c:v>
                </c:pt>
                <c:pt idx="31">
                  <c:v>SimplexTableau</c:v>
                </c:pt>
                <c:pt idx="32">
                  <c:v>BrentOptimizer</c:v>
                </c:pt>
                <c:pt idx="33">
                  <c:v>BrentOptimizer</c:v>
                </c:pt>
                <c:pt idx="34">
                  <c:v>Complex</c:v>
                </c:pt>
                <c:pt idx="35">
                  <c:v>Complex</c:v>
                </c:pt>
                <c:pt idx="36">
                  <c:v>Complex</c:v>
                </c:pt>
                <c:pt idx="37">
                  <c:v>BrentOptimizer</c:v>
                </c:pt>
                <c:pt idx="38">
                  <c:v>BrentOptimizer</c:v>
                </c:pt>
                <c:pt idx="39">
                  <c:v>BrentOptimizer</c:v>
                </c:pt>
                <c:pt idx="40">
                  <c:v>Complex</c:v>
                </c:pt>
                <c:pt idx="41">
                  <c:v>BrentOptimizer</c:v>
                </c:pt>
                <c:pt idx="42">
                  <c:v>Complex</c:v>
                </c:pt>
                <c:pt idx="43">
                  <c:v>BrentOptimizer</c:v>
                </c:pt>
              </c:strCache>
            </c:strRef>
          </c:cat>
          <c:val>
            <c:numRef>
              <c:f>Yoshiokaharuka!$C$1:$C$44</c:f>
              <c:numCache>
                <c:formatCode>General</c:formatCode>
                <c:ptCount val="44"/>
                <c:pt idx="0">
                  <c:v>35</c:v>
                </c:pt>
                <c:pt idx="1">
                  <c:v>25</c:v>
                </c:pt>
                <c:pt idx="2">
                  <c:v>24</c:v>
                </c:pt>
                <c:pt idx="3">
                  <c:v>22</c:v>
                </c:pt>
                <c:pt idx="4">
                  <c:v>176</c:v>
                </c:pt>
                <c:pt idx="5">
                  <c:v>506</c:v>
                </c:pt>
                <c:pt idx="6">
                  <c:v>492</c:v>
                </c:pt>
                <c:pt idx="7">
                  <c:v>548</c:v>
                </c:pt>
                <c:pt idx="8">
                  <c:v>388</c:v>
                </c:pt>
                <c:pt idx="9">
                  <c:v>22</c:v>
                </c:pt>
                <c:pt idx="10">
                  <c:v>16</c:v>
                </c:pt>
                <c:pt idx="11">
                  <c:v>225</c:v>
                </c:pt>
                <c:pt idx="12">
                  <c:v>222</c:v>
                </c:pt>
                <c:pt idx="13">
                  <c:v>205</c:v>
                </c:pt>
                <c:pt idx="14">
                  <c:v>204</c:v>
                </c:pt>
                <c:pt idx="15">
                  <c:v>113</c:v>
                </c:pt>
                <c:pt idx="16">
                  <c:v>14</c:v>
                </c:pt>
                <c:pt idx="17">
                  <c:v>79</c:v>
                </c:pt>
                <c:pt idx="18">
                  <c:v>13</c:v>
                </c:pt>
                <c:pt idx="19">
                  <c:v>12</c:v>
                </c:pt>
                <c:pt idx="20">
                  <c:v>11</c:v>
                </c:pt>
                <c:pt idx="21">
                  <c:v>42</c:v>
                </c:pt>
                <c:pt idx="22">
                  <c:v>41</c:v>
                </c:pt>
                <c:pt idx="23">
                  <c:v>40</c:v>
                </c:pt>
                <c:pt idx="24">
                  <c:v>39</c:v>
                </c:pt>
                <c:pt idx="25">
                  <c:v>38</c:v>
                </c:pt>
                <c:pt idx="26">
                  <c:v>37</c:v>
                </c:pt>
                <c:pt idx="27">
                  <c:v>31</c:v>
                </c:pt>
                <c:pt idx="28">
                  <c:v>36</c:v>
                </c:pt>
                <c:pt idx="29">
                  <c:v>111</c:v>
                </c:pt>
                <c:pt idx="30">
                  <c:v>110</c:v>
                </c:pt>
                <c:pt idx="31">
                  <c:v>32</c:v>
                </c:pt>
                <c:pt idx="32">
                  <c:v>107</c:v>
                </c:pt>
                <c:pt idx="33">
                  <c:v>106</c:v>
                </c:pt>
                <c:pt idx="34">
                  <c:v>9</c:v>
                </c:pt>
                <c:pt idx="35">
                  <c:v>19</c:v>
                </c:pt>
                <c:pt idx="36">
                  <c:v>4</c:v>
                </c:pt>
                <c:pt idx="37">
                  <c:v>94</c:v>
                </c:pt>
                <c:pt idx="38">
                  <c:v>92</c:v>
                </c:pt>
                <c:pt idx="39">
                  <c:v>91</c:v>
                </c:pt>
                <c:pt idx="40">
                  <c:v>14</c:v>
                </c:pt>
                <c:pt idx="41">
                  <c:v>90</c:v>
                </c:pt>
                <c:pt idx="42">
                  <c:v>3</c:v>
                </c:pt>
                <c:pt idx="43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E5-49C4-AF36-03387D91B091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Yoshiokaharuka!$A$1:$A$44</c:f>
              <c:strCache>
                <c:ptCount val="44"/>
                <c:pt idx="0">
                  <c:v>BOBYQAOptimizer</c:v>
                </c:pt>
                <c:pt idx="1">
                  <c:v>BOBYQAOptimizer</c:v>
                </c:pt>
                <c:pt idx="2">
                  <c:v>BOBYQAOptimizer</c:v>
                </c:pt>
                <c:pt idx="3">
                  <c:v>BOBYQAOptimizer</c:v>
                </c:pt>
                <c:pt idx="4">
                  <c:v>EmbeddedRungeKuttaIntegrator</c:v>
                </c:pt>
                <c:pt idx="5">
                  <c:v>SimplexOptimizer</c:v>
                </c:pt>
                <c:pt idx="6">
                  <c:v>SimplexOptimizer</c:v>
                </c:pt>
                <c:pt idx="7">
                  <c:v>RungeKuttaIntegrator</c:v>
                </c:pt>
                <c:pt idx="8">
                  <c:v>BrentOptimizer</c:v>
                </c:pt>
                <c:pt idx="9">
                  <c:v>CMAESOptimizer</c:v>
                </c:pt>
                <c:pt idx="10">
                  <c:v>CMAESOptimizer</c:v>
                </c:pt>
                <c:pt idx="11">
                  <c:v>BrentOptimizer</c:v>
                </c:pt>
                <c:pt idx="12">
                  <c:v>BrentOptimizer</c:v>
                </c:pt>
                <c:pt idx="13">
                  <c:v>BrentOptimizer</c:v>
                </c:pt>
                <c:pt idx="14">
                  <c:v>BrentOptimizer</c:v>
                </c:pt>
                <c:pt idx="15">
                  <c:v>EmbeddedRungeKuttaIntegrator</c:v>
                </c:pt>
                <c:pt idx="16">
                  <c:v>OpenMapRealVector</c:v>
                </c:pt>
                <c:pt idx="17">
                  <c:v>SimplexTableau</c:v>
                </c:pt>
                <c:pt idx="18">
                  <c:v>OpenMapRealVector</c:v>
                </c:pt>
                <c:pt idx="19">
                  <c:v>OpenMapRealVector</c:v>
                </c:pt>
                <c:pt idx="20">
                  <c:v>OpenMapRealVector</c:v>
                </c:pt>
                <c:pt idx="21">
                  <c:v>SimplexTableau</c:v>
                </c:pt>
                <c:pt idx="22">
                  <c:v>SimplexTableau</c:v>
                </c:pt>
                <c:pt idx="23">
                  <c:v>SimplexTableau</c:v>
                </c:pt>
                <c:pt idx="24">
                  <c:v>SimplexTableau</c:v>
                </c:pt>
                <c:pt idx="25">
                  <c:v>SimplexTableau</c:v>
                </c:pt>
                <c:pt idx="26">
                  <c:v>SimplexTableau</c:v>
                </c:pt>
                <c:pt idx="27">
                  <c:v>SimplexTableau</c:v>
                </c:pt>
                <c:pt idx="28">
                  <c:v>SimplexTableau</c:v>
                </c:pt>
                <c:pt idx="29">
                  <c:v>BrentOptimizer</c:v>
                </c:pt>
                <c:pt idx="30">
                  <c:v>BrentOptimizer</c:v>
                </c:pt>
                <c:pt idx="31">
                  <c:v>SimplexTableau</c:v>
                </c:pt>
                <c:pt idx="32">
                  <c:v>BrentOptimizer</c:v>
                </c:pt>
                <c:pt idx="33">
                  <c:v>BrentOptimizer</c:v>
                </c:pt>
                <c:pt idx="34">
                  <c:v>Complex</c:v>
                </c:pt>
                <c:pt idx="35">
                  <c:v>Complex</c:v>
                </c:pt>
                <c:pt idx="36">
                  <c:v>Complex</c:v>
                </c:pt>
                <c:pt idx="37">
                  <c:v>BrentOptimizer</c:v>
                </c:pt>
                <c:pt idx="38">
                  <c:v>BrentOptimizer</c:v>
                </c:pt>
                <c:pt idx="39">
                  <c:v>BrentOptimizer</c:v>
                </c:pt>
                <c:pt idx="40">
                  <c:v>Complex</c:v>
                </c:pt>
                <c:pt idx="41">
                  <c:v>BrentOptimizer</c:v>
                </c:pt>
                <c:pt idx="42">
                  <c:v>Complex</c:v>
                </c:pt>
                <c:pt idx="43">
                  <c:v>BrentOptimizer</c:v>
                </c:pt>
              </c:strCache>
            </c:strRef>
          </c:cat>
          <c:val>
            <c:numRef>
              <c:f>Yoshiokaharuka!$D$1:$D$44</c:f>
              <c:numCache>
                <c:formatCode>General</c:formatCode>
                <c:ptCount val="44"/>
                <c:pt idx="0">
                  <c:v>21</c:v>
                </c:pt>
                <c:pt idx="1">
                  <c:v>11</c:v>
                </c:pt>
                <c:pt idx="2">
                  <c:v>10</c:v>
                </c:pt>
                <c:pt idx="3">
                  <c:v>8</c:v>
                </c:pt>
                <c:pt idx="4">
                  <c:v>180</c:v>
                </c:pt>
                <c:pt idx="5">
                  <c:v>505</c:v>
                </c:pt>
                <c:pt idx="6">
                  <c:v>491</c:v>
                </c:pt>
                <c:pt idx="7">
                  <c:v>548</c:v>
                </c:pt>
                <c:pt idx="8">
                  <c:v>241</c:v>
                </c:pt>
                <c:pt idx="9">
                  <c:v>16</c:v>
                </c:pt>
                <c:pt idx="10">
                  <c:v>10</c:v>
                </c:pt>
                <c:pt idx="11">
                  <c:v>139</c:v>
                </c:pt>
                <c:pt idx="12">
                  <c:v>136</c:v>
                </c:pt>
                <c:pt idx="13">
                  <c:v>119</c:v>
                </c:pt>
                <c:pt idx="14">
                  <c:v>118</c:v>
                </c:pt>
                <c:pt idx="15">
                  <c:v>90</c:v>
                </c:pt>
                <c:pt idx="16">
                  <c:v>14</c:v>
                </c:pt>
                <c:pt idx="17">
                  <c:v>77</c:v>
                </c:pt>
                <c:pt idx="18">
                  <c:v>13</c:v>
                </c:pt>
                <c:pt idx="19">
                  <c:v>12</c:v>
                </c:pt>
                <c:pt idx="20">
                  <c:v>11</c:v>
                </c:pt>
                <c:pt idx="21">
                  <c:v>56</c:v>
                </c:pt>
                <c:pt idx="22">
                  <c:v>55</c:v>
                </c:pt>
                <c:pt idx="23">
                  <c:v>54</c:v>
                </c:pt>
                <c:pt idx="24">
                  <c:v>53</c:v>
                </c:pt>
                <c:pt idx="25">
                  <c:v>52</c:v>
                </c:pt>
                <c:pt idx="26">
                  <c:v>51</c:v>
                </c:pt>
                <c:pt idx="27">
                  <c:v>32</c:v>
                </c:pt>
                <c:pt idx="28">
                  <c:v>37</c:v>
                </c:pt>
                <c:pt idx="29">
                  <c:v>25</c:v>
                </c:pt>
                <c:pt idx="30">
                  <c:v>24</c:v>
                </c:pt>
                <c:pt idx="31">
                  <c:v>33</c:v>
                </c:pt>
                <c:pt idx="32">
                  <c:v>21</c:v>
                </c:pt>
                <c:pt idx="33">
                  <c:v>20</c:v>
                </c:pt>
                <c:pt idx="34">
                  <c:v>9</c:v>
                </c:pt>
                <c:pt idx="35">
                  <c:v>19</c:v>
                </c:pt>
                <c:pt idx="36">
                  <c:v>4</c:v>
                </c:pt>
                <c:pt idx="37">
                  <c:v>8</c:v>
                </c:pt>
                <c:pt idx="38">
                  <c:v>6</c:v>
                </c:pt>
                <c:pt idx="39">
                  <c:v>5</c:v>
                </c:pt>
                <c:pt idx="40">
                  <c:v>14</c:v>
                </c:pt>
                <c:pt idx="41">
                  <c:v>4</c:v>
                </c:pt>
                <c:pt idx="42">
                  <c:v>3</c:v>
                </c:pt>
                <c:pt idx="4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E5-49C4-AF36-03387D91B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3112592"/>
        <c:axId val="2003113008"/>
      </c:barChart>
      <c:catAx>
        <c:axId val="200311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3113008"/>
        <c:crosses val="autoZero"/>
        <c:auto val="1"/>
        <c:lblAlgn val="ctr"/>
        <c:lblOffset val="100"/>
        <c:noMultiLvlLbl val="0"/>
      </c:catAx>
      <c:valAx>
        <c:axId val="20031130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311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Yoshiokaharuka!$I$13:$K$13</c:f>
                <c:numCache>
                  <c:formatCode>General</c:formatCode>
                  <c:ptCount val="3"/>
                  <c:pt idx="0">
                    <c:v>18.75</c:v>
                  </c:pt>
                  <c:pt idx="1">
                    <c:v>19</c:v>
                  </c:pt>
                  <c:pt idx="2">
                    <c:v>8.75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Yoshiokaharuka!$I$8:$K$8</c:f>
              <c:strCache>
                <c:ptCount val="3"/>
                <c:pt idx="0">
                  <c:v>SBFL</c:v>
                </c:pt>
                <c:pt idx="1">
                  <c:v>SBFL'</c:v>
                </c:pt>
                <c:pt idx="2">
                  <c:v>提案手法</c:v>
                </c:pt>
              </c:strCache>
            </c:strRef>
          </c:cat>
          <c:val>
            <c:numRef>
              <c:f>Yoshiokaharuka!$I$10:$K$10</c:f>
              <c:numCache>
                <c:formatCode>General</c:formatCode>
                <c:ptCount val="3"/>
                <c:pt idx="0">
                  <c:v>106.25</c:v>
                </c:pt>
                <c:pt idx="1">
                  <c:v>69.75</c:v>
                </c:pt>
                <c:pt idx="2">
                  <c:v>38.75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5A-41E7-9843-6FA9E04BE54A}"/>
            </c:ext>
          </c:extLst>
        </c:ser>
        <c:ser>
          <c:idx val="1"/>
          <c:order val="1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Yoshiokaharuka!$I$8:$K$8</c:f>
              <c:strCache>
                <c:ptCount val="3"/>
                <c:pt idx="0">
                  <c:v>SBFL</c:v>
                </c:pt>
                <c:pt idx="1">
                  <c:v>SBFL'</c:v>
                </c:pt>
                <c:pt idx="2">
                  <c:v>提案手法</c:v>
                </c:pt>
              </c:strCache>
            </c:strRef>
          </c:cat>
          <c:val>
            <c:numRef>
              <c:f>Yoshiokaharuka!$I$11:$K$11</c:f>
              <c:numCache>
                <c:formatCode>General</c:formatCode>
                <c:ptCount val="3"/>
                <c:pt idx="0">
                  <c:v>20.75</c:v>
                </c:pt>
                <c:pt idx="1">
                  <c:v>18.5</c:v>
                </c:pt>
                <c:pt idx="2">
                  <c:v>11.75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A-41E7-9843-6FA9E04BE54A}"/>
            </c:ext>
          </c:extLst>
        </c:ser>
        <c:ser>
          <c:idx val="0"/>
          <c:order val="2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Yoshiokaharuka!$I$9:$K$9</c:f>
                <c:numCache>
                  <c:formatCode>General</c:formatCode>
                  <c:ptCount val="3"/>
                  <c:pt idx="0">
                    <c:v>1722.25</c:v>
                  </c:pt>
                  <c:pt idx="1">
                    <c:v>437.75</c:v>
                  </c:pt>
                  <c:pt idx="2">
                    <c:v>486.75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Yoshiokaharuka!$I$8:$K$8</c:f>
              <c:strCache>
                <c:ptCount val="3"/>
                <c:pt idx="0">
                  <c:v>SBFL</c:v>
                </c:pt>
                <c:pt idx="1">
                  <c:v>SBFL'</c:v>
                </c:pt>
                <c:pt idx="2">
                  <c:v>提案手法</c:v>
                </c:pt>
              </c:strCache>
            </c:strRef>
          </c:cat>
          <c:val>
            <c:numRef>
              <c:f>Yoshiokaharuka!$I$12:$K$12</c:f>
              <c:numCache>
                <c:formatCode>General</c:formatCode>
                <c:ptCount val="3"/>
                <c:pt idx="0">
                  <c:v>20.75</c:v>
                </c:pt>
                <c:pt idx="1">
                  <c:v>22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A-41E7-9843-6FA9E04BE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67366320"/>
        <c:axId val="1067364656"/>
      </c:barChart>
      <c:catAx>
        <c:axId val="106736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7364656"/>
        <c:crosses val="autoZero"/>
        <c:auto val="1"/>
        <c:lblAlgn val="ctr"/>
        <c:lblOffset val="100"/>
        <c:noMultiLvlLbl val="0"/>
      </c:catAx>
      <c:valAx>
        <c:axId val="10673646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736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</cx:chartData>
  <cx:chart>
    <cx:title pos="t" align="ctr" overlay="0"/>
    <cx:plotArea>
      <cx:plotAreaRegion>
        <cx:series layoutId="boxWhisker" uniqueId="{513C0F0B-0D4C-4FFA-A201-2E7BFFB55D4F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305B2840-F341-4479-81A0-7222C71AE63E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53FB6333-4DB1-4C71-8013-31738B6267E5}"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323851</xdr:colOff>
      <xdr:row>21</xdr:row>
      <xdr:rowOff>190500</xdr:rowOff>
    </xdr:from>
    <xdr:to>
      <xdr:col>29</xdr:col>
      <xdr:colOff>47625</xdr:colOff>
      <xdr:row>50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47D45BE-3164-4F64-8128-ACC7FF75B4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609600</xdr:colOff>
      <xdr:row>2</xdr:row>
      <xdr:rowOff>28574</xdr:rowOff>
    </xdr:from>
    <xdr:to>
      <xdr:col>18</xdr:col>
      <xdr:colOff>47625</xdr:colOff>
      <xdr:row>19</xdr:row>
      <xdr:rowOff>238124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2CA7E1-7B1D-4D7A-AAC8-9EF8DC7FDA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476250</xdr:colOff>
      <xdr:row>0</xdr:row>
      <xdr:rowOff>133350</xdr:rowOff>
    </xdr:from>
    <xdr:to>
      <xdr:col>27</xdr:col>
      <xdr:colOff>552450</xdr:colOff>
      <xdr:row>26</xdr:row>
      <xdr:rowOff>161925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グラフ 8">
              <a:extLst>
                <a:ext uri="{FF2B5EF4-FFF2-40B4-BE49-F238E27FC236}">
                  <a16:creationId xmlns:a16="http://schemas.microsoft.com/office/drawing/2014/main" id="{D0D43CA4-C6B5-4519-AECD-7CFEB3A4F9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878050" y="133350"/>
              <a:ext cx="4191000" cy="6219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5"/>
  <sheetViews>
    <sheetView tabSelected="1" workbookViewId="0">
      <selection activeCell="AD9" sqref="AD9"/>
    </sheetView>
  </sheetViews>
  <sheetFormatPr defaultRowHeight="18.75" x14ac:dyDescent="0.4"/>
  <sheetData>
    <row r="1" spans="1:11" x14ac:dyDescent="0.4">
      <c r="A1" t="s">
        <v>10</v>
      </c>
      <c r="B1">
        <v>1870</v>
      </c>
      <c r="C1">
        <v>35</v>
      </c>
      <c r="D1">
        <v>21</v>
      </c>
      <c r="E1" t="s">
        <v>11</v>
      </c>
    </row>
    <row r="2" spans="1:11" x14ac:dyDescent="0.4">
      <c r="A2" t="s">
        <v>10</v>
      </c>
      <c r="B2">
        <v>1860</v>
      </c>
      <c r="C2">
        <v>25</v>
      </c>
      <c r="D2">
        <v>11</v>
      </c>
      <c r="E2" t="s">
        <v>11</v>
      </c>
      <c r="H2" t="s">
        <v>23</v>
      </c>
      <c r="I2">
        <f>QUARTILE(B:B,4)</f>
        <v>1870</v>
      </c>
      <c r="J2">
        <f>QUARTILE(C:C,4)</f>
        <v>548</v>
      </c>
      <c r="K2">
        <f>QUARTILE(D:D,4)</f>
        <v>548</v>
      </c>
    </row>
    <row r="3" spans="1:11" x14ac:dyDescent="0.4">
      <c r="A3" t="s">
        <v>10</v>
      </c>
      <c r="B3">
        <v>1859</v>
      </c>
      <c r="C3">
        <v>24</v>
      </c>
      <c r="D3">
        <v>10</v>
      </c>
      <c r="E3" t="s">
        <v>11</v>
      </c>
      <c r="H3" s="1">
        <v>0.75</v>
      </c>
      <c r="I3">
        <f>QUARTILE(B:B,3)</f>
        <v>147.75</v>
      </c>
      <c r="J3">
        <f>QUARTILE(C:C,3)</f>
        <v>110.25</v>
      </c>
      <c r="K3">
        <f>QUARTILE(D:D,3)</f>
        <v>61.25</v>
      </c>
    </row>
    <row r="4" spans="1:11" x14ac:dyDescent="0.4">
      <c r="A4" t="s">
        <v>10</v>
      </c>
      <c r="B4">
        <v>1857</v>
      </c>
      <c r="C4">
        <v>22</v>
      </c>
      <c r="D4">
        <v>8</v>
      </c>
      <c r="E4" t="s">
        <v>11</v>
      </c>
      <c r="H4" t="s">
        <v>24</v>
      </c>
      <c r="I4">
        <f>QUARTILE(B:B,2)</f>
        <v>41.5</v>
      </c>
      <c r="J4">
        <f>QUARTILE(C:C,2)</f>
        <v>40.5</v>
      </c>
      <c r="K4">
        <f>QUARTILE(D:D,2)</f>
        <v>22.5</v>
      </c>
    </row>
    <row r="5" spans="1:11" x14ac:dyDescent="0.4">
      <c r="A5" t="s">
        <v>12</v>
      </c>
      <c r="B5">
        <v>531</v>
      </c>
      <c r="C5">
        <v>176</v>
      </c>
      <c r="D5">
        <v>180</v>
      </c>
      <c r="E5" t="s">
        <v>18</v>
      </c>
      <c r="H5" s="1">
        <v>0.25</v>
      </c>
      <c r="I5">
        <f>QUARTILE(B:B,1)</f>
        <v>20.75</v>
      </c>
      <c r="J5">
        <f>QUARTILE(C:C,1)</f>
        <v>22</v>
      </c>
      <c r="K5">
        <f>QUARTILE(D:D,1)</f>
        <v>10.75</v>
      </c>
    </row>
    <row r="6" spans="1:11" x14ac:dyDescent="0.4">
      <c r="A6" t="s">
        <v>0</v>
      </c>
      <c r="B6">
        <v>506</v>
      </c>
      <c r="C6">
        <v>506</v>
      </c>
      <c r="D6">
        <v>505</v>
      </c>
      <c r="E6" t="s">
        <v>1</v>
      </c>
      <c r="H6" t="s">
        <v>25</v>
      </c>
      <c r="I6">
        <f>QUARTILE(B:B,0)</f>
        <v>2</v>
      </c>
      <c r="J6">
        <f>QUARTILE(C:C,0)</f>
        <v>3</v>
      </c>
      <c r="K6">
        <f>QUARTILE(D:D,0)</f>
        <v>2</v>
      </c>
    </row>
    <row r="7" spans="1:11" x14ac:dyDescent="0.4">
      <c r="A7" t="s">
        <v>0</v>
      </c>
      <c r="B7">
        <v>492</v>
      </c>
      <c r="C7">
        <v>492</v>
      </c>
      <c r="D7">
        <v>491</v>
      </c>
      <c r="E7" t="s">
        <v>1</v>
      </c>
    </row>
    <row r="8" spans="1:11" x14ac:dyDescent="0.4">
      <c r="A8" t="s">
        <v>19</v>
      </c>
      <c r="B8">
        <v>331</v>
      </c>
      <c r="C8">
        <v>548</v>
      </c>
      <c r="D8">
        <v>548</v>
      </c>
      <c r="E8" t="s">
        <v>18</v>
      </c>
      <c r="H8" t="s">
        <v>26</v>
      </c>
      <c r="I8" t="s">
        <v>31</v>
      </c>
      <c r="J8" t="s">
        <v>32</v>
      </c>
      <c r="K8" t="s">
        <v>33</v>
      </c>
    </row>
    <row r="9" spans="1:11" x14ac:dyDescent="0.4">
      <c r="A9" t="s">
        <v>16</v>
      </c>
      <c r="B9">
        <v>241</v>
      </c>
      <c r="C9">
        <v>388</v>
      </c>
      <c r="D9">
        <v>241</v>
      </c>
      <c r="E9" t="s">
        <v>17</v>
      </c>
      <c r="H9" t="s">
        <v>30</v>
      </c>
      <c r="I9">
        <f>I2-I3</f>
        <v>1722.25</v>
      </c>
      <c r="J9">
        <f>J2-J3</f>
        <v>437.75</v>
      </c>
      <c r="K9">
        <f>K2-K3</f>
        <v>486.75</v>
      </c>
    </row>
    <row r="10" spans="1:11" x14ac:dyDescent="0.4">
      <c r="A10" t="s">
        <v>2</v>
      </c>
      <c r="B10">
        <v>180</v>
      </c>
      <c r="C10">
        <v>22</v>
      </c>
      <c r="D10">
        <v>16</v>
      </c>
      <c r="E10" t="s">
        <v>3</v>
      </c>
      <c r="H10" t="s">
        <v>27</v>
      </c>
      <c r="I10">
        <f>I3-I4</f>
        <v>106.25</v>
      </c>
      <c r="J10">
        <f t="shared" ref="J10:K10" si="0">J3-J4</f>
        <v>69.75</v>
      </c>
      <c r="K10">
        <f t="shared" si="0"/>
        <v>38.75</v>
      </c>
    </row>
    <row r="11" spans="1:11" x14ac:dyDescent="0.4">
      <c r="A11" t="s">
        <v>2</v>
      </c>
      <c r="B11">
        <v>174</v>
      </c>
      <c r="C11">
        <v>16</v>
      </c>
      <c r="D11">
        <v>10</v>
      </c>
      <c r="E11" t="s">
        <v>3</v>
      </c>
      <c r="H11" t="s">
        <v>28</v>
      </c>
      <c r="I11">
        <f>I4-I5</f>
        <v>20.75</v>
      </c>
      <c r="J11">
        <f t="shared" ref="J11:K11" si="1">J4-J5</f>
        <v>18.5</v>
      </c>
      <c r="K11">
        <f t="shared" si="1"/>
        <v>11.75</v>
      </c>
    </row>
    <row r="12" spans="1:11" x14ac:dyDescent="0.4">
      <c r="A12" t="s">
        <v>16</v>
      </c>
      <c r="B12">
        <v>139</v>
      </c>
      <c r="C12">
        <v>225</v>
      </c>
      <c r="D12">
        <v>139</v>
      </c>
      <c r="E12" t="s">
        <v>17</v>
      </c>
      <c r="H12" s="1">
        <v>0.25</v>
      </c>
      <c r="I12">
        <f>I5</f>
        <v>20.75</v>
      </c>
      <c r="J12">
        <f>J5</f>
        <v>22</v>
      </c>
      <c r="K12">
        <f>K5</f>
        <v>10.75</v>
      </c>
    </row>
    <row r="13" spans="1:11" x14ac:dyDescent="0.4">
      <c r="A13" t="s">
        <v>16</v>
      </c>
      <c r="B13">
        <v>136</v>
      </c>
      <c r="C13">
        <v>222</v>
      </c>
      <c r="D13">
        <v>136</v>
      </c>
      <c r="E13" t="s">
        <v>17</v>
      </c>
      <c r="H13" t="s">
        <v>29</v>
      </c>
      <c r="I13">
        <f>I5-I6</f>
        <v>18.75</v>
      </c>
      <c r="J13">
        <f>J5-J6</f>
        <v>19</v>
      </c>
      <c r="K13">
        <f>K5-K6</f>
        <v>8.75</v>
      </c>
    </row>
    <row r="14" spans="1:11" x14ac:dyDescent="0.4">
      <c r="A14" t="s">
        <v>16</v>
      </c>
      <c r="B14">
        <v>119</v>
      </c>
      <c r="C14">
        <v>205</v>
      </c>
      <c r="D14">
        <v>119</v>
      </c>
      <c r="E14" t="s">
        <v>17</v>
      </c>
    </row>
    <row r="15" spans="1:11" x14ac:dyDescent="0.4">
      <c r="A15" t="s">
        <v>16</v>
      </c>
      <c r="B15">
        <v>118</v>
      </c>
      <c r="C15">
        <v>204</v>
      </c>
      <c r="D15">
        <v>118</v>
      </c>
      <c r="E15" t="s">
        <v>17</v>
      </c>
    </row>
    <row r="16" spans="1:11" x14ac:dyDescent="0.4">
      <c r="A16" t="s">
        <v>12</v>
      </c>
      <c r="B16">
        <v>90</v>
      </c>
      <c r="C16">
        <v>113</v>
      </c>
      <c r="D16">
        <v>90</v>
      </c>
      <c r="E16" t="s">
        <v>13</v>
      </c>
    </row>
    <row r="17" spans="1:5" x14ac:dyDescent="0.4">
      <c r="A17" t="s">
        <v>4</v>
      </c>
      <c r="B17">
        <v>76</v>
      </c>
      <c r="C17">
        <v>14</v>
      </c>
      <c r="D17">
        <v>14</v>
      </c>
      <c r="E17" t="s">
        <v>5</v>
      </c>
    </row>
    <row r="18" spans="1:5" x14ac:dyDescent="0.4">
      <c r="A18" t="s">
        <v>6</v>
      </c>
      <c r="B18">
        <v>76</v>
      </c>
      <c r="C18">
        <v>79</v>
      </c>
      <c r="D18">
        <v>77</v>
      </c>
      <c r="E18" t="s">
        <v>14</v>
      </c>
    </row>
    <row r="19" spans="1:5" x14ac:dyDescent="0.4">
      <c r="A19" t="s">
        <v>4</v>
      </c>
      <c r="B19">
        <v>75</v>
      </c>
      <c r="C19">
        <v>13</v>
      </c>
      <c r="D19">
        <v>13</v>
      </c>
      <c r="E19" t="s">
        <v>5</v>
      </c>
    </row>
    <row r="20" spans="1:5" x14ac:dyDescent="0.4">
      <c r="A20" t="s">
        <v>4</v>
      </c>
      <c r="B20">
        <v>74</v>
      </c>
      <c r="C20">
        <v>12</v>
      </c>
      <c r="D20">
        <v>12</v>
      </c>
      <c r="E20" t="s">
        <v>5</v>
      </c>
    </row>
    <row r="21" spans="1:5" x14ac:dyDescent="0.4">
      <c r="A21" t="s">
        <v>4</v>
      </c>
      <c r="B21">
        <v>73</v>
      </c>
      <c r="C21">
        <v>11</v>
      </c>
      <c r="D21">
        <v>11</v>
      </c>
      <c r="E21" t="s">
        <v>5</v>
      </c>
    </row>
    <row r="22" spans="1:5" x14ac:dyDescent="0.4">
      <c r="A22" t="s">
        <v>6</v>
      </c>
      <c r="B22">
        <v>42</v>
      </c>
      <c r="C22">
        <v>42</v>
      </c>
      <c r="D22">
        <v>56</v>
      </c>
      <c r="E22" t="s">
        <v>21</v>
      </c>
    </row>
    <row r="23" spans="1:5" x14ac:dyDescent="0.4">
      <c r="A23" t="s">
        <v>6</v>
      </c>
      <c r="B23">
        <v>41</v>
      </c>
      <c r="C23">
        <v>41</v>
      </c>
      <c r="D23">
        <v>55</v>
      </c>
      <c r="E23" t="s">
        <v>21</v>
      </c>
    </row>
    <row r="24" spans="1:5" x14ac:dyDescent="0.4">
      <c r="A24" t="s">
        <v>6</v>
      </c>
      <c r="B24">
        <v>40</v>
      </c>
      <c r="C24">
        <v>40</v>
      </c>
      <c r="D24">
        <v>54</v>
      </c>
      <c r="E24" t="s">
        <v>21</v>
      </c>
    </row>
    <row r="25" spans="1:5" x14ac:dyDescent="0.4">
      <c r="A25" t="s">
        <v>6</v>
      </c>
      <c r="B25">
        <v>39</v>
      </c>
      <c r="C25">
        <v>39</v>
      </c>
      <c r="D25">
        <v>53</v>
      </c>
      <c r="E25" t="s">
        <v>21</v>
      </c>
    </row>
    <row r="26" spans="1:5" x14ac:dyDescent="0.4">
      <c r="A26" t="s">
        <v>6</v>
      </c>
      <c r="B26">
        <v>38</v>
      </c>
      <c r="C26">
        <v>38</v>
      </c>
      <c r="D26">
        <v>52</v>
      </c>
      <c r="E26" t="s">
        <v>21</v>
      </c>
    </row>
    <row r="27" spans="1:5" x14ac:dyDescent="0.4">
      <c r="A27" t="s">
        <v>6</v>
      </c>
      <c r="B27">
        <v>37</v>
      </c>
      <c r="C27">
        <v>37</v>
      </c>
      <c r="D27">
        <v>51</v>
      </c>
      <c r="E27" t="s">
        <v>21</v>
      </c>
    </row>
    <row r="28" spans="1:5" x14ac:dyDescent="0.4">
      <c r="A28" t="s">
        <v>6</v>
      </c>
      <c r="B28">
        <v>30</v>
      </c>
      <c r="C28">
        <v>31</v>
      </c>
      <c r="D28">
        <v>32</v>
      </c>
      <c r="E28" t="s">
        <v>7</v>
      </c>
    </row>
    <row r="29" spans="1:5" x14ac:dyDescent="0.4">
      <c r="A29" t="s">
        <v>6</v>
      </c>
      <c r="B29">
        <v>27</v>
      </c>
      <c r="C29">
        <v>36</v>
      </c>
      <c r="D29">
        <v>37</v>
      </c>
      <c r="E29" t="s">
        <v>20</v>
      </c>
    </row>
    <row r="30" spans="1:5" x14ac:dyDescent="0.4">
      <c r="A30" t="s">
        <v>16</v>
      </c>
      <c r="B30">
        <v>25</v>
      </c>
      <c r="C30">
        <v>111</v>
      </c>
      <c r="D30">
        <v>25</v>
      </c>
      <c r="E30" t="s">
        <v>17</v>
      </c>
    </row>
    <row r="31" spans="1:5" x14ac:dyDescent="0.4">
      <c r="A31" t="s">
        <v>16</v>
      </c>
      <c r="B31">
        <v>24</v>
      </c>
      <c r="C31">
        <v>110</v>
      </c>
      <c r="D31">
        <v>24</v>
      </c>
      <c r="E31" t="s">
        <v>17</v>
      </c>
    </row>
    <row r="32" spans="1:5" x14ac:dyDescent="0.4">
      <c r="A32" t="s">
        <v>6</v>
      </c>
      <c r="B32">
        <v>23</v>
      </c>
      <c r="C32">
        <v>32</v>
      </c>
      <c r="D32">
        <v>33</v>
      </c>
      <c r="E32" t="s">
        <v>20</v>
      </c>
    </row>
    <row r="33" spans="1:5" x14ac:dyDescent="0.4">
      <c r="A33" t="s">
        <v>16</v>
      </c>
      <c r="B33">
        <v>21</v>
      </c>
      <c r="C33">
        <v>107</v>
      </c>
      <c r="D33">
        <v>21</v>
      </c>
      <c r="E33" t="s">
        <v>17</v>
      </c>
    </row>
    <row r="34" spans="1:5" x14ac:dyDescent="0.4">
      <c r="A34" t="s">
        <v>16</v>
      </c>
      <c r="B34">
        <v>20</v>
      </c>
      <c r="C34">
        <v>106</v>
      </c>
      <c r="D34">
        <v>20</v>
      </c>
      <c r="E34" t="s">
        <v>17</v>
      </c>
    </row>
    <row r="35" spans="1:5" x14ac:dyDescent="0.4">
      <c r="A35" t="s">
        <v>8</v>
      </c>
      <c r="B35">
        <v>15</v>
      </c>
      <c r="C35">
        <v>9</v>
      </c>
      <c r="D35">
        <v>9</v>
      </c>
      <c r="E35" t="s">
        <v>9</v>
      </c>
    </row>
    <row r="36" spans="1:5" x14ac:dyDescent="0.4">
      <c r="A36" t="s">
        <v>8</v>
      </c>
      <c r="B36">
        <v>14</v>
      </c>
      <c r="C36">
        <v>19</v>
      </c>
      <c r="D36">
        <v>19</v>
      </c>
      <c r="E36" t="s">
        <v>9</v>
      </c>
    </row>
    <row r="37" spans="1:5" x14ac:dyDescent="0.4">
      <c r="A37" t="s">
        <v>8</v>
      </c>
      <c r="B37">
        <v>9</v>
      </c>
      <c r="C37">
        <v>4</v>
      </c>
      <c r="D37">
        <v>4</v>
      </c>
      <c r="E37" t="s">
        <v>9</v>
      </c>
    </row>
    <row r="38" spans="1:5" x14ac:dyDescent="0.4">
      <c r="A38" t="s">
        <v>16</v>
      </c>
      <c r="B38">
        <v>8</v>
      </c>
      <c r="C38">
        <v>94</v>
      </c>
      <c r="D38">
        <v>8</v>
      </c>
      <c r="E38" t="s">
        <v>17</v>
      </c>
    </row>
    <row r="39" spans="1:5" x14ac:dyDescent="0.4">
      <c r="A39" t="s">
        <v>16</v>
      </c>
      <c r="B39">
        <v>6</v>
      </c>
      <c r="C39">
        <v>92</v>
      </c>
      <c r="D39">
        <v>6</v>
      </c>
      <c r="E39" t="s">
        <v>17</v>
      </c>
    </row>
    <row r="40" spans="1:5" x14ac:dyDescent="0.4">
      <c r="A40" t="s">
        <v>16</v>
      </c>
      <c r="B40">
        <v>5</v>
      </c>
      <c r="C40">
        <v>91</v>
      </c>
      <c r="D40">
        <v>5</v>
      </c>
      <c r="E40" t="s">
        <v>17</v>
      </c>
    </row>
    <row r="41" spans="1:5" x14ac:dyDescent="0.4">
      <c r="A41" t="s">
        <v>8</v>
      </c>
      <c r="B41">
        <v>4</v>
      </c>
      <c r="C41">
        <v>14</v>
      </c>
      <c r="D41">
        <v>14</v>
      </c>
      <c r="E41" t="s">
        <v>9</v>
      </c>
    </row>
    <row r="42" spans="1:5" x14ac:dyDescent="0.4">
      <c r="A42" t="s">
        <v>16</v>
      </c>
      <c r="B42">
        <v>4</v>
      </c>
      <c r="C42">
        <v>90</v>
      </c>
      <c r="D42">
        <v>4</v>
      </c>
      <c r="E42" t="s">
        <v>17</v>
      </c>
    </row>
    <row r="43" spans="1:5" x14ac:dyDescent="0.4">
      <c r="A43" t="s">
        <v>8</v>
      </c>
      <c r="B43">
        <v>2</v>
      </c>
      <c r="C43">
        <v>3</v>
      </c>
      <c r="D43">
        <v>3</v>
      </c>
      <c r="E43" t="s">
        <v>15</v>
      </c>
    </row>
    <row r="44" spans="1:5" x14ac:dyDescent="0.4">
      <c r="A44" t="s">
        <v>16</v>
      </c>
      <c r="B44">
        <v>2</v>
      </c>
      <c r="C44">
        <v>88</v>
      </c>
      <c r="D44">
        <v>2</v>
      </c>
      <c r="E44" t="s">
        <v>17</v>
      </c>
    </row>
    <row r="45" spans="1:5" x14ac:dyDescent="0.4">
      <c r="A45" t="s">
        <v>22</v>
      </c>
    </row>
  </sheetData>
  <sortState xmlns:xlrd2="http://schemas.microsoft.com/office/spreadsheetml/2017/richdata2" ref="A1:E44">
    <sortCondition descending="1" ref="B1:B44"/>
  </sortState>
  <phoneticPr fontId="18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Yoshiokaharuka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h-yosiok</dc:creator>
  <cp:lastModifiedBy>吉岡遼</cp:lastModifiedBy>
  <dcterms:created xsi:type="dcterms:W3CDTF">2021-11-15T06:39:21Z</dcterms:created>
  <dcterms:modified xsi:type="dcterms:W3CDTF">2021-11-15T08:12:52Z</dcterms:modified>
</cp:coreProperties>
</file>